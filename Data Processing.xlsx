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hidePivotFieldList="1"/>
  <mc:AlternateContent xmlns:mc="http://schemas.openxmlformats.org/markup-compatibility/2006">
    <mc:Choice Requires="x15">
      <x15ac:absPath xmlns:x15ac="http://schemas.microsoft.com/office/spreadsheetml/2010/11/ac" url="/Users/hongrijia/Documents/Personal/DantongMeng/Case Study/"/>
    </mc:Choice>
  </mc:AlternateContent>
  <xr:revisionPtr revIDLastSave="0" documentId="13_ncr:1_{58AB0BBA-9866-F245-BFC3-3E948E735D19}" xr6:coauthVersionLast="47" xr6:coauthVersionMax="47" xr10:uidLastSave="{00000000-0000-0000-0000-000000000000}"/>
  <bookViews>
    <workbookView xWindow="38400" yWindow="620" windowWidth="38400" windowHeight="20980" activeTab="3" xr2:uid="{00000000-000D-0000-FFFF-FFFF00000000}"/>
  </bookViews>
  <sheets>
    <sheet name="Financials" sheetId="22" r:id="rId1"/>
    <sheet name="Analysis &gt; &gt;" sheetId="21" r:id="rId2"/>
    <sheet name="Analysis_Summary" sheetId="23" r:id="rId3"/>
    <sheet name="Analysis_Lead Time" sheetId="24" r:id="rId4"/>
    <sheet name="Documentations &gt; &gt;" sheetId="8" r:id="rId5"/>
    <sheet name="Assumptions" sheetId="9"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22" l="1"/>
  <c r="E12" i="22"/>
  <c r="E10" i="22"/>
  <c r="E5" i="22"/>
  <c r="E14" i="22" l="1"/>
  <c r="E16" i="22" l="1"/>
  <c r="E21" i="22" s="1"/>
  <c r="E17" i="22" l="1"/>
  <c r="E22" i="22" l="1"/>
  <c r="E23" i="22" l="1"/>
  <c r="E26" i="22"/>
</calcChain>
</file>

<file path=xl/sharedStrings.xml><?xml version="1.0" encoding="utf-8"?>
<sst xmlns="http://schemas.openxmlformats.org/spreadsheetml/2006/main" count="188" uniqueCount="113">
  <si>
    <t>Deleted</t>
  </si>
  <si>
    <t>Relevant</t>
  </si>
  <si>
    <t>Documentations_Assumptions</t>
  </si>
  <si>
    <t>Cancellations - Relevant Status</t>
  </si>
  <si>
    <t>Call-Offs</t>
  </si>
  <si>
    <t>NCNS</t>
  </si>
  <si>
    <t>Late Cancellations</t>
  </si>
  <si>
    <t>Early Cancellations</t>
  </si>
  <si>
    <t>Standard Cancellations</t>
  </si>
  <si>
    <t>Lead Time - Segmentation</t>
  </si>
  <si>
    <t>Lead Segments</t>
  </si>
  <si>
    <t>Same-Day</t>
  </si>
  <si>
    <t>Short Notice</t>
  </si>
  <si>
    <t>Normal-Term</t>
  </si>
  <si>
    <t>Planned</t>
  </si>
  <si>
    <t>Segments - Cancellation Lead</t>
  </si>
  <si>
    <t>Grand Total</t>
  </si>
  <si>
    <t>Sum of Potential Net Revenue</t>
  </si>
  <si>
    <t>Call-Offs Total</t>
  </si>
  <si>
    <t>Early Cancellations Total</t>
  </si>
  <si>
    <t>Late Cancellations Total</t>
  </si>
  <si>
    <t>NCNS Total</t>
  </si>
  <si>
    <t>Standard Cancellations Total</t>
  </si>
  <si>
    <t>Insufficient Time</t>
  </si>
  <si>
    <t>(blank)</t>
  </si>
  <si>
    <t>Potential Net Revenue - %</t>
  </si>
  <si>
    <t>Shift - Categorization</t>
  </si>
  <si>
    <t>Fulfilled</t>
  </si>
  <si>
    <t>Unverified</t>
  </si>
  <si>
    <t>Count of Shift - Categorization</t>
  </si>
  <si>
    <t>Count of Shift - Categorization2</t>
  </si>
  <si>
    <t>Unfulfilled</t>
  </si>
  <si>
    <t xml:space="preserve">1) Shifts are categorized between: Fulfilled | Unfulfilled | Deleted | Unverified.
- Fulfilled: Shifts that are Verified
- Unfulfilled: Shifts that are Unverified with an associated Cancellation Log
- Deleted: Shifts that have been deleted, initiated by the Facility
- Unverified: Shifts that are Unverified without an associated Cancellation Log
For the purpose of analysis, excluding the Deleted shifts, the other shifts are recognized to have been processed in the Clipboard Health's application. </t>
  </si>
  <si>
    <t>2) Lead Time segmentation for Shifts and Cancellation Logs are based on the Index Table below</t>
  </si>
  <si>
    <r>
      <t xml:space="preserve">- Cancellation: </t>
    </r>
    <r>
      <rPr>
        <sz val="11"/>
        <color theme="1"/>
        <rFont val="Calibri"/>
        <family val="2"/>
        <scheme val="minor"/>
      </rPr>
      <t>Time between cancellation date and start date</t>
    </r>
  </si>
  <si>
    <r>
      <t xml:space="preserve">- Shift: </t>
    </r>
    <r>
      <rPr>
        <sz val="11"/>
        <color theme="1"/>
        <rFont val="Calibri"/>
        <family val="2"/>
        <scheme val="minor"/>
      </rPr>
      <t>Time between shift creation date and start date</t>
    </r>
  </si>
  <si>
    <t>*Cancellations unnotified are classified as "NCNS" | Shifts are classified as "Insufficient Time"</t>
  </si>
  <si>
    <t>3) Shifts that are unfulfillfed and analyzed to assess degree of Marketplace Reliability are based on the following conditions:</t>
  </si>
  <si>
    <t>4) The Cancellations Lead Time is analyzed based on the "Latest" cancellation submissions. This is under the assumption that the user "reclaimed" the Shift, and subsequently cancelled after. The latest cancellation submission would best reflect the impact on timely notifications.</t>
  </si>
  <si>
    <t>5) Other Assumptions:</t>
  </si>
  <si>
    <t>- Net Revenue is assessed using the average Take Rate between 17% - 22%, landing at 19.50%</t>
  </si>
  <si>
    <t>This is under the assumption that Shifts with Cancellations that have been Verified were covered in time.</t>
  </si>
  <si>
    <t>a) Shift ID is registered in the Cancellations Log</t>
  </si>
  <si>
    <t>b) Verified status is FALSE</t>
  </si>
  <si>
    <t>c) Deleted status is NOT TRUE</t>
  </si>
  <si>
    <t>Furthermore, deletions are processed from the facility side and hence does not accurately reflect Marketplace Reliability.</t>
  </si>
  <si>
    <t>Financials</t>
  </si>
  <si>
    <t>Analysis_Summary</t>
  </si>
  <si>
    <t>Analysis_Shift Lead Time</t>
  </si>
  <si>
    <t>Unfulfilled Shifts:</t>
  </si>
  <si>
    <t>Unfulfilled Hours:</t>
  </si>
  <si>
    <t>Unfulfilled Net Revenue:</t>
  </si>
  <si>
    <t>% of Cancellations - NCNS</t>
  </si>
  <si>
    <t>% of Cancellations - Call-Offs</t>
  </si>
  <si>
    <t>Total % of Cancellation</t>
  </si>
  <si>
    <t>% of Total Net Revenue:</t>
  </si>
  <si>
    <t>Proposal: Require manual acceptance of shift closer to shift start time</t>
  </si>
  <si>
    <t>Failure to accept results in a warning - reassignment of the shift to ensure adequate time is provided to fill the role if needed</t>
  </si>
  <si>
    <r>
      <rPr>
        <b/>
        <sz val="11"/>
        <color theme="1"/>
        <rFont val="Calibri"/>
        <family val="2"/>
        <scheme val="minor"/>
      </rPr>
      <t>Main Causes</t>
    </r>
    <r>
      <rPr>
        <sz val="11"/>
        <color theme="1"/>
        <rFont val="Calibri"/>
        <family val="2"/>
        <scheme val="minor"/>
      </rPr>
      <t>: Sickness | Family Emergencies | Transportation Issues | Issues finding facility</t>
    </r>
  </si>
  <si>
    <t>Recovered Hours:</t>
  </si>
  <si>
    <t>These are all issues related to sudden interferences that prevent the candidate in fulfilling their assigned shift.</t>
  </si>
  <si>
    <t>This is in line with the analysis results with the cancellations concentrated in NCNS and Call-Offs.</t>
  </si>
  <si>
    <t>Recovered Net Revenue:</t>
  </si>
  <si>
    <t>Findings:</t>
  </si>
  <si>
    <t>The cancellations are concentrated under the NCNS and Call-Offs segments, indicating that most cancellations are processed on a short-term notice.</t>
  </si>
  <si>
    <t>This is in line with expectations given the common reasons submitted for cancellations that allude to sudden emergencies and late notices.</t>
  </si>
  <si>
    <t>To mitigate the cancellation volumes, the strategy should focus on methods to reduce short-term cancellations.</t>
  </si>
  <si>
    <t>A potential method could be to enforce positive confirmation to claim the shift closer to the shift date.</t>
  </si>
  <si>
    <t>Lastly, shifts that are not verified with no cancellation log can potentially be due to missing a booking match, not indicative of reliability.</t>
  </si>
  <si>
    <t>Furthermore, unfulfilled shifts make up 9.15% of non-deleted shifts. This is a material volume that needs to be investigated.</t>
  </si>
  <si>
    <t>Shifts within the Planned segmentation (72 days + lead time) seem to have the highest volume of cancellations.</t>
  </si>
  <si>
    <t>However, when assessing the total volume of shits by lead time segmentation, the Planned segmentation naturally</t>
  </si>
  <si>
    <t>holds higher volume of supply. Similar to the analysis of the Agent Req, there is no correlation of the concentration of</t>
  </si>
  <si>
    <t>cancellations to the causation.</t>
  </si>
  <si>
    <t>Cancellations - by Cancellation Lead Segment</t>
  </si>
  <si>
    <t>Shifts - by Shift Lead Time Segment</t>
  </si>
  <si>
    <t>Shifts - by Shift Lead Time Segment (Filtered - remove Deleted Shifts)</t>
  </si>
  <si>
    <t>Cancellations - by Cancellation Lead Segment &amp; Lead Time Segmentation</t>
  </si>
  <si>
    <t>Cancellations - by Lead Time Segmentation</t>
  </si>
  <si>
    <t>Relevant Shifts (Not Deleted) - by Lead Time Segmentation</t>
  </si>
  <si>
    <t>Recovered Net Revenue - %:</t>
  </si>
  <si>
    <t>Lead Time - Lower Threshold</t>
  </si>
  <si>
    <t>Lead Time - Upper Threshold</t>
  </si>
  <si>
    <t>Cancellation Cohort</t>
  </si>
  <si>
    <t>Booking Cohort</t>
  </si>
  <si>
    <t>Concentrated Hours:</t>
  </si>
  <si>
    <t>Concentrated Revenue:</t>
  </si>
  <si>
    <t>a</t>
  </si>
  <si>
    <t>b</t>
  </si>
  <si>
    <t>c</t>
  </si>
  <si>
    <t>d</t>
  </si>
  <si>
    <t>e</t>
  </si>
  <si>
    <t>Financial Impact</t>
  </si>
  <si>
    <t>Potential Net Revenue:</t>
  </si>
  <si>
    <t>Proposed - Assessed Savings:</t>
  </si>
  <si>
    <t>f</t>
  </si>
  <si>
    <t>g</t>
  </si>
  <si>
    <t>h</t>
  </si>
  <si>
    <t>Clevelenad - Operational %:</t>
  </si>
  <si>
    <t>i</t>
  </si>
  <si>
    <t>j</t>
  </si>
  <si>
    <t>k</t>
  </si>
  <si>
    <t>l</t>
  </si>
  <si>
    <t>b*d</t>
  </si>
  <si>
    <t>c*d</t>
  </si>
  <si>
    <t>e*g</t>
  </si>
  <si>
    <t>f*g</t>
  </si>
  <si>
    <t>i/a</t>
  </si>
  <si>
    <t>i/j</t>
  </si>
  <si>
    <t>Potential Revenue Impact:</t>
  </si>
  <si>
    <t>COUNTIFS(Shifts!$V:$V,"Relevant")</t>
  </si>
  <si>
    <t>SUMIFS(Shifts!$M:$M,Shifts!$V:$V,"Relevant")</t>
  </si>
  <si>
    <t>SUMIFS(Shifts!$P:$P,Shifts!$V:$V,"Relevant")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</si>
</sst>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quot;$&quot;#,##0.00;\(&quot;$&quot;#,##0.00\);\-"/>
    <numFmt numFmtId="165" formatCode="#,##0;\(#,##0\);\-"/>
    <numFmt numFmtId="167" formatCode="&quot;$&quot;#,##0;\(&quot;$&quot;#,##0\);\-"/>
    <numFmt numFmtId="168" formatCode="&quot;$&quot;#,##0.00"/>
    <numFmt numFmtId="169" formatCode="&quot;$&quot;#,##0"/>
    <numFmt numFmtId="170" formatCode="0.000%"/>
  </numFmts>
  <fonts count="13" x14ac:knownFonts="1">
    <font>
      <sz val="11"/>
      <color theme="1"/>
      <name val="Calibri"/>
      <family val="2"/>
      <scheme val="minor"/>
    </font>
    <font>
      <b/>
      <sz val="20"/>
      <color theme="0"/>
      <name val="Calibri"/>
      <family val="2"/>
      <scheme val="minor"/>
    </font>
    <font>
      <b/>
      <sz val="11"/>
      <color theme="0"/>
      <name val="Calibri"/>
      <family val="2"/>
      <scheme val="minor"/>
    </font>
    <font>
      <b/>
      <sz val="11"/>
      <color theme="1"/>
      <name val="Calibri"/>
      <family val="2"/>
      <scheme val="minor"/>
    </font>
    <font>
      <i/>
      <sz val="10"/>
      <color theme="1"/>
      <name val="Calibri"/>
      <family val="2"/>
      <scheme val="minor"/>
    </font>
    <font>
      <sz val="13"/>
      <color theme="1"/>
      <name val="Calibri"/>
      <family val="2"/>
      <scheme val="minor"/>
    </font>
    <font>
      <b/>
      <sz val="13"/>
      <color theme="0"/>
      <name val="Calibri"/>
      <family val="2"/>
      <scheme val="minor"/>
    </font>
    <font>
      <b/>
      <sz val="9"/>
      <color theme="0"/>
      <name val="Calibri"/>
      <family val="2"/>
      <scheme val="minor"/>
    </font>
    <font>
      <i/>
      <sz val="11"/>
      <color theme="1"/>
      <name val="Calibri"/>
      <family val="2"/>
      <scheme val="minor"/>
    </font>
    <font>
      <i/>
      <sz val="11"/>
      <color rgb="FF0000FF"/>
      <name val="Calibri"/>
      <family val="2"/>
      <scheme val="minor"/>
    </font>
    <font>
      <i/>
      <sz val="11"/>
      <color theme="2" tint="-0.749992370372631"/>
      <name val="Calibri"/>
      <family val="2"/>
      <scheme val="minor"/>
    </font>
    <font>
      <b/>
      <sz val="11"/>
      <color rgb="FF0000FF"/>
      <name val="Calibri"/>
      <family val="2"/>
      <scheme val="minor"/>
    </font>
    <font>
      <sz val="13"/>
      <color theme="0"/>
      <name val="Calibri"/>
      <family val="2"/>
      <scheme val="minor"/>
    </font>
  </fonts>
  <fills count="9">
    <fill>
      <patternFill patternType="none"/>
    </fill>
    <fill>
      <patternFill patternType="gray125"/>
    </fill>
    <fill>
      <patternFill patternType="solid">
        <fgColor theme="1"/>
        <bgColor indexed="64"/>
      </patternFill>
    </fill>
    <fill>
      <patternFill patternType="solid">
        <fgColor theme="2" tint="-0.749992370372631"/>
        <bgColor indexed="64"/>
      </patternFill>
    </fill>
    <fill>
      <patternFill patternType="solid">
        <fgColor theme="0" tint="-4.9989318521683403E-2"/>
        <bgColor indexed="64"/>
      </patternFill>
    </fill>
    <fill>
      <patternFill patternType="solid">
        <fgColor theme="8" tint="-0.499984740745262"/>
        <bgColor indexed="64"/>
      </patternFill>
    </fill>
    <fill>
      <patternFill patternType="solid">
        <fgColor rgb="FFFFFFCC"/>
        <bgColor indexed="64"/>
      </patternFill>
    </fill>
    <fill>
      <patternFill patternType="solid">
        <fgColor theme="0" tint="-0.14999847407452621"/>
        <bgColor indexed="64"/>
      </patternFill>
    </fill>
    <fill>
      <patternFill patternType="solid">
        <fgColor theme="1" tint="0.14999847407452621"/>
        <bgColor indexed="64"/>
      </patternFill>
    </fill>
  </fills>
  <borders count="14">
    <border>
      <left/>
      <right/>
      <top/>
      <bottom/>
      <diagonal/>
    </border>
    <border>
      <left style="hair">
        <color indexed="64"/>
      </left>
      <right style="hair">
        <color indexed="64"/>
      </right>
      <top style="hair">
        <color indexed="64"/>
      </top>
      <bottom style="hair">
        <color indexed="64"/>
      </bottom>
      <diagonal/>
    </border>
    <border>
      <left/>
      <right/>
      <top style="thin">
        <color indexed="64"/>
      </top>
      <bottom style="medium">
        <color indexed="64"/>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right style="medium">
        <color theme="0" tint="-0.34998626667073579"/>
      </right>
      <top style="medium">
        <color theme="0" tint="-0.34998626667073579"/>
      </top>
      <bottom/>
      <diagonal/>
    </border>
    <border>
      <left style="medium">
        <color theme="0" tint="-0.34998626667073579"/>
      </left>
      <right/>
      <top/>
      <bottom/>
      <diagonal/>
    </border>
    <border>
      <left/>
      <right style="medium">
        <color theme="0" tint="-0.34998626667073579"/>
      </right>
      <top/>
      <bottom/>
      <diagonal/>
    </border>
    <border>
      <left style="medium">
        <color theme="0" tint="-0.34998626667073579"/>
      </left>
      <right/>
      <top/>
      <bottom style="medium">
        <color theme="0" tint="-0.34998626667073579"/>
      </bottom>
      <diagonal/>
    </border>
    <border>
      <left/>
      <right/>
      <top/>
      <bottom style="medium">
        <color theme="0" tint="-0.34998626667073579"/>
      </bottom>
      <diagonal/>
    </border>
    <border>
      <left/>
      <right style="medium">
        <color theme="0" tint="-0.34998626667073579"/>
      </right>
      <top/>
      <bottom style="medium">
        <color theme="0" tint="-0.34998626667073579"/>
      </bottom>
      <diagonal/>
    </border>
    <border>
      <left/>
      <right/>
      <top style="hair">
        <color indexed="64"/>
      </top>
      <bottom/>
      <diagonal/>
    </border>
    <border>
      <left/>
      <right/>
      <top style="hair">
        <color indexed="64"/>
      </top>
      <bottom style="hair">
        <color indexed="64"/>
      </bottom>
      <diagonal/>
    </border>
    <border>
      <left/>
      <right/>
      <top/>
      <bottom style="hair">
        <color indexed="64"/>
      </bottom>
      <diagonal/>
    </border>
  </borders>
  <cellStyleXfs count="1">
    <xf numFmtId="0" fontId="0" fillId="0" borderId="0"/>
  </cellStyleXfs>
  <cellXfs count="56">
    <xf numFmtId="0" fontId="0" fillId="0" borderId="0" xfId="0"/>
    <xf numFmtId="0" fontId="0" fillId="2" borderId="0" xfId="0" applyFill="1"/>
    <xf numFmtId="0" fontId="1" fillId="2" borderId="0" xfId="0" applyFont="1" applyFill="1"/>
    <xf numFmtId="0" fontId="2" fillId="3" borderId="0" xfId="0" applyFont="1" applyFill="1"/>
    <xf numFmtId="0" fontId="2" fillId="5" borderId="0" xfId="0" applyFont="1" applyFill="1" applyAlignment="1">
      <alignment horizontal="center"/>
    </xf>
    <xf numFmtId="0" fontId="3" fillId="0" borderId="0" xfId="0" applyFont="1" applyAlignment="1">
      <alignment wrapText="1"/>
    </xf>
    <xf numFmtId="0" fontId="3" fillId="0" borderId="0" xfId="0" applyFont="1"/>
    <xf numFmtId="165" fontId="3" fillId="0" borderId="0" xfId="0" applyNumberFormat="1" applyFont="1"/>
    <xf numFmtId="165" fontId="0" fillId="0" borderId="0" xfId="0" applyNumberFormat="1"/>
    <xf numFmtId="0" fontId="0" fillId="6" borderId="1" xfId="0" applyFill="1" applyBorder="1" applyAlignment="1">
      <alignment horizontal="center"/>
    </xf>
    <xf numFmtId="0" fontId="0" fillId="4" borderId="1" xfId="0" applyFill="1" applyBorder="1" applyAlignment="1">
      <alignment horizontal="center"/>
    </xf>
    <xf numFmtId="0" fontId="0" fillId="0" borderId="0" xfId="0" pivotButton="1"/>
    <xf numFmtId="164" fontId="0" fillId="0" borderId="0" xfId="0" applyNumberFormat="1"/>
    <xf numFmtId="10" fontId="0" fillId="0" borderId="0" xfId="0" applyNumberFormat="1"/>
    <xf numFmtId="0" fontId="3" fillId="0" borderId="0" xfId="0" applyFont="1" applyAlignment="1">
      <alignment vertical="top"/>
    </xf>
    <xf numFmtId="0" fontId="3" fillId="0" borderId="0" xfId="0" quotePrefix="1" applyFont="1" applyAlignment="1">
      <alignment vertical="top"/>
    </xf>
    <xf numFmtId="0" fontId="4" fillId="0" borderId="0" xfId="0" quotePrefix="1" applyFont="1" applyAlignment="1">
      <alignment vertical="top"/>
    </xf>
    <xf numFmtId="0" fontId="0" fillId="0" borderId="0" xfId="0" quotePrefix="1"/>
    <xf numFmtId="0" fontId="0" fillId="0" borderId="0" xfId="0" quotePrefix="1" applyAlignment="1">
      <alignment horizontal="left" indent="1"/>
    </xf>
    <xf numFmtId="167" fontId="0" fillId="0" borderId="0" xfId="0" applyNumberFormat="1"/>
    <xf numFmtId="0" fontId="3" fillId="0" borderId="2" xfId="0" applyFont="1" applyBorder="1"/>
    <xf numFmtId="10" fontId="3" fillId="0" borderId="2" xfId="0" applyNumberFormat="1" applyFont="1" applyBorder="1"/>
    <xf numFmtId="10" fontId="3" fillId="0" borderId="0" xfId="0" applyNumberFormat="1" applyFont="1"/>
    <xf numFmtId="169" fontId="3" fillId="0" borderId="0" xfId="0" applyNumberFormat="1" applyFont="1"/>
    <xf numFmtId="9" fontId="3" fillId="0" borderId="0" xfId="0" applyNumberFormat="1" applyFont="1"/>
    <xf numFmtId="170" fontId="0" fillId="0" borderId="0" xfId="0" applyNumberFormat="1"/>
    <xf numFmtId="0" fontId="0" fillId="7" borderId="4" xfId="0" applyFill="1" applyBorder="1"/>
    <xf numFmtId="0" fontId="0" fillId="7" borderId="5" xfId="0" applyFill="1" applyBorder="1"/>
    <xf numFmtId="0" fontId="0" fillId="7" borderId="6" xfId="0" applyFill="1" applyBorder="1"/>
    <xf numFmtId="0" fontId="0" fillId="7" borderId="0" xfId="0" applyFill="1"/>
    <xf numFmtId="0" fontId="0" fillId="7" borderId="7" xfId="0" applyFill="1" applyBorder="1"/>
    <xf numFmtId="0" fontId="0" fillId="7" borderId="8" xfId="0" applyFill="1" applyBorder="1"/>
    <xf numFmtId="0" fontId="0" fillId="7" borderId="9" xfId="0" applyFill="1" applyBorder="1"/>
    <xf numFmtId="0" fontId="0" fillId="7" borderId="10" xfId="0" applyFill="1" applyBorder="1"/>
    <xf numFmtId="0" fontId="3" fillId="7" borderId="3" xfId="0" applyFont="1" applyFill="1" applyBorder="1"/>
    <xf numFmtId="0" fontId="5" fillId="0" borderId="0" xfId="0" applyFont="1"/>
    <xf numFmtId="0" fontId="6" fillId="8" borderId="0" xfId="0" applyFont="1" applyFill="1"/>
    <xf numFmtId="0" fontId="7" fillId="5" borderId="0" xfId="0" applyFont="1" applyFill="1" applyAlignment="1">
      <alignment horizontal="center"/>
    </xf>
    <xf numFmtId="0" fontId="8" fillId="0" borderId="0" xfId="0" applyFont="1"/>
    <xf numFmtId="10" fontId="8" fillId="0" borderId="0" xfId="0" applyNumberFormat="1" applyFont="1"/>
    <xf numFmtId="0" fontId="9" fillId="0" borderId="0" xfId="0" applyFont="1" applyAlignment="1">
      <alignment horizontal="center"/>
    </xf>
    <xf numFmtId="0" fontId="10" fillId="0" borderId="0" xfId="0" applyFont="1" applyAlignment="1">
      <alignment horizontal="center"/>
    </xf>
    <xf numFmtId="0" fontId="2" fillId="0" borderId="0" xfId="0" applyFont="1"/>
    <xf numFmtId="167" fontId="3" fillId="0" borderId="2" xfId="0" applyNumberFormat="1" applyFont="1" applyBorder="1"/>
    <xf numFmtId="9" fontId="11" fillId="0" borderId="0" xfId="0" applyNumberFormat="1" applyFont="1" applyAlignment="1">
      <alignment horizontal="center"/>
    </xf>
    <xf numFmtId="0" fontId="3" fillId="4" borderId="11" xfId="0" applyFont="1" applyFill="1" applyBorder="1"/>
    <xf numFmtId="165" fontId="3" fillId="4" borderId="11" xfId="0" applyNumberFormat="1" applyFont="1" applyFill="1" applyBorder="1"/>
    <xf numFmtId="0" fontId="3" fillId="4" borderId="0" xfId="0" applyFont="1" applyFill="1"/>
    <xf numFmtId="168" fontId="3" fillId="4" borderId="0" xfId="0" applyNumberFormat="1" applyFont="1" applyFill="1"/>
    <xf numFmtId="0" fontId="3" fillId="4" borderId="13" xfId="0" applyFont="1" applyFill="1" applyBorder="1"/>
    <xf numFmtId="10" fontId="3" fillId="4" borderId="13" xfId="0" applyNumberFormat="1" applyFont="1" applyFill="1" applyBorder="1"/>
    <xf numFmtId="0" fontId="3" fillId="4" borderId="12" xfId="0" applyFont="1" applyFill="1" applyBorder="1"/>
    <xf numFmtId="168" fontId="3" fillId="4" borderId="12" xfId="0" applyNumberFormat="1" applyFont="1" applyFill="1" applyBorder="1"/>
    <xf numFmtId="0" fontId="3" fillId="0" borderId="0" xfId="0" applyFont="1" applyAlignment="1">
      <alignment vertical="top" wrapText="1"/>
    </xf>
    <xf numFmtId="0" fontId="3" fillId="0" borderId="0" xfId="0" applyFont="1" applyAlignment="1">
      <alignment wrapText="1"/>
    </xf>
    <xf numFmtId="0" fontId="12" fillId="8" borderId="0" xfId="0" applyFont="1" applyFill="1"/>
  </cellXfs>
  <cellStyles count="1">
    <cellStyle name="Normal" xfId="0" builtinId="0"/>
  </cellStyles>
  <dxfs count="0"/>
  <tableStyles count="0" defaultTableStyle="TableStyleMedium2"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02992-0784-4640-A431-BFE124AE099A}">
  <dimension ref="A1:F33"/>
  <sheetViews>
    <sheetView showGridLines="0" workbookViewId="0">
      <selection activeCell="H41" sqref="H41"/>
    </sheetView>
  </sheetViews>
  <sheetFormatPr baseColWidth="10" defaultColWidth="8.83203125" defaultRowHeight="15" x14ac:dyDescent="0.2"/>
  <cols>
    <col min="1" max="1" width="1.6640625" customWidth="1"/>
    <col min="2" max="3" width="5.6640625" customWidth="1"/>
    <col min="4" max="4" width="27" bestFit="1" customWidth="1"/>
    <col min="5" max="5" width="11.1640625" bestFit="1" customWidth="1"/>
  </cols>
  <sheetData>
    <row r="1" spans="1:6" s="2" customFormat="1" ht="26" x14ac:dyDescent="0.3">
      <c r="A1" s="2" t="s">
        <v>46</v>
      </c>
    </row>
    <row r="3" spans="1:6" x14ac:dyDescent="0.2">
      <c r="D3" s="3" t="s">
        <v>92</v>
      </c>
      <c r="E3" s="3"/>
    </row>
    <row r="4" spans="1:6" ht="5" customHeight="1" x14ac:dyDescent="0.2">
      <c r="D4" s="42"/>
      <c r="E4" s="42"/>
    </row>
    <row r="5" spans="1:6" ht="16" thickBot="1" x14ac:dyDescent="0.25">
      <c r="C5" s="40" t="s">
        <v>87</v>
      </c>
      <c r="D5" s="20" t="s">
        <v>93</v>
      </c>
      <c r="E5" s="43">
        <f>Analysis_Summary!$C$39</f>
        <v>1774498.5787166366</v>
      </c>
    </row>
    <row r="6" spans="1:6" ht="5" customHeight="1" x14ac:dyDescent="0.2">
      <c r="D6" s="42"/>
      <c r="E6" s="42"/>
    </row>
    <row r="7" spans="1:6" x14ac:dyDescent="0.2">
      <c r="D7" s="6" t="s">
        <v>49</v>
      </c>
      <c r="E7" s="7">
        <v>2826</v>
      </c>
      <c r="F7" t="s">
        <v>110</v>
      </c>
    </row>
    <row r="8" spans="1:6" x14ac:dyDescent="0.2">
      <c r="C8" s="40" t="s">
        <v>88</v>
      </c>
      <c r="D8" t="s">
        <v>50</v>
      </c>
      <c r="E8" s="8">
        <v>23259</v>
      </c>
      <c r="F8" t="s">
        <v>111</v>
      </c>
    </row>
    <row r="9" spans="1:6" x14ac:dyDescent="0.2">
      <c r="C9" s="40" t="s">
        <v>89</v>
      </c>
      <c r="D9" t="s">
        <v>51</v>
      </c>
      <c r="E9" s="19">
        <v>162416.13764999947</v>
      </c>
      <c r="F9" t="s">
        <v>112</v>
      </c>
    </row>
    <row r="10" spans="1:6" x14ac:dyDescent="0.2">
      <c r="D10" s="38" t="s">
        <v>55</v>
      </c>
      <c r="E10" s="39">
        <f>Analysis_Summary!$D$38</f>
        <v>9.1527905177282959E-2</v>
      </c>
    </row>
    <row r="11" spans="1:6" ht="5" customHeight="1" x14ac:dyDescent="0.2">
      <c r="E11" s="8"/>
    </row>
    <row r="12" spans="1:6" x14ac:dyDescent="0.2">
      <c r="D12" t="s">
        <v>52</v>
      </c>
      <c r="E12" s="13">
        <f>Analysis_Summary!$D$15</f>
        <v>0.36184616011892978</v>
      </c>
    </row>
    <row r="13" spans="1:6" x14ac:dyDescent="0.2">
      <c r="D13" t="s">
        <v>53</v>
      </c>
      <c r="E13" s="13">
        <f>Analysis_Summary!$D$16</f>
        <v>0.31838308186735764</v>
      </c>
    </row>
    <row r="14" spans="1:6" ht="16" thickBot="1" x14ac:dyDescent="0.25">
      <c r="C14" s="40" t="s">
        <v>90</v>
      </c>
      <c r="D14" s="20" t="s">
        <v>54</v>
      </c>
      <c r="E14" s="21">
        <f>SUM(E12:E13)</f>
        <v>0.68022924198628743</v>
      </c>
    </row>
    <row r="15" spans="1:6" ht="5" customHeight="1" x14ac:dyDescent="0.2">
      <c r="D15" s="6"/>
      <c r="E15" s="22"/>
    </row>
    <row r="16" spans="1:6" x14ac:dyDescent="0.2">
      <c r="B16" s="41" t="s">
        <v>103</v>
      </c>
      <c r="C16" s="40" t="s">
        <v>91</v>
      </c>
      <c r="D16" s="6" t="s">
        <v>85</v>
      </c>
      <c r="E16" s="7">
        <f>E8*E14</f>
        <v>15821.45193935906</v>
      </c>
    </row>
    <row r="17" spans="2:5" x14ac:dyDescent="0.2">
      <c r="B17" s="41" t="s">
        <v>104</v>
      </c>
      <c r="C17" s="40" t="s">
        <v>95</v>
      </c>
      <c r="D17" s="6" t="s">
        <v>86</v>
      </c>
      <c r="E17" s="23">
        <f>E9*E14</f>
        <v>110480.20619999965</v>
      </c>
    </row>
    <row r="18" spans="2:5" ht="5" customHeight="1" x14ac:dyDescent="0.2"/>
    <row r="19" spans="2:5" x14ac:dyDescent="0.2">
      <c r="C19" s="40" t="s">
        <v>96</v>
      </c>
      <c r="D19" s="6" t="s">
        <v>94</v>
      </c>
      <c r="E19" s="44">
        <v>0.3</v>
      </c>
    </row>
    <row r="20" spans="2:5" x14ac:dyDescent="0.2">
      <c r="D20" s="25"/>
    </row>
    <row r="21" spans="2:5" x14ac:dyDescent="0.2">
      <c r="B21" s="41" t="s">
        <v>105</v>
      </c>
      <c r="C21" s="40" t="s">
        <v>97</v>
      </c>
      <c r="D21" s="45" t="s">
        <v>59</v>
      </c>
      <c r="E21" s="46">
        <f>$E$16*$E$19</f>
        <v>4746.4355818077174</v>
      </c>
    </row>
    <row r="22" spans="2:5" x14ac:dyDescent="0.2">
      <c r="B22" s="41" t="s">
        <v>106</v>
      </c>
      <c r="C22" s="40" t="s">
        <v>99</v>
      </c>
      <c r="D22" s="47" t="s">
        <v>62</v>
      </c>
      <c r="E22" s="48">
        <f>E17*E19</f>
        <v>33144.061859999892</v>
      </c>
    </row>
    <row r="23" spans="2:5" x14ac:dyDescent="0.2">
      <c r="B23" s="41" t="s">
        <v>107</v>
      </c>
      <c r="C23" s="40" t="s">
        <v>100</v>
      </c>
      <c r="D23" s="49" t="s">
        <v>80</v>
      </c>
      <c r="E23" s="50">
        <f>E22/$E$5</f>
        <v>1.8677987267800764E-2</v>
      </c>
    </row>
    <row r="24" spans="2:5" ht="5" customHeight="1" x14ac:dyDescent="0.2"/>
    <row r="25" spans="2:5" x14ac:dyDescent="0.2">
      <c r="C25" s="40" t="s">
        <v>101</v>
      </c>
      <c r="D25" s="6" t="s">
        <v>98</v>
      </c>
      <c r="E25" s="44">
        <v>0.08</v>
      </c>
    </row>
    <row r="26" spans="2:5" x14ac:dyDescent="0.2">
      <c r="B26" s="41" t="s">
        <v>108</v>
      </c>
      <c r="C26" s="40" t="s">
        <v>102</v>
      </c>
      <c r="D26" s="51" t="s">
        <v>109</v>
      </c>
      <c r="E26" s="52">
        <f>E22/E25</f>
        <v>414300.77324999863</v>
      </c>
    </row>
    <row r="28" spans="2:5" x14ac:dyDescent="0.2">
      <c r="D28" t="s">
        <v>58</v>
      </c>
    </row>
    <row r="29" spans="2:5" x14ac:dyDescent="0.2">
      <c r="D29" t="s">
        <v>60</v>
      </c>
    </row>
    <row r="30" spans="2:5" x14ac:dyDescent="0.2">
      <c r="D30" t="s">
        <v>61</v>
      </c>
    </row>
    <row r="32" spans="2:5" x14ac:dyDescent="0.2">
      <c r="D32" s="6" t="s">
        <v>56</v>
      </c>
      <c r="E32" s="24"/>
    </row>
    <row r="33" spans="4:4" x14ac:dyDescent="0.2">
      <c r="D33" t="s">
        <v>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6F599-5C1F-430B-BA1E-A27391FFD1BA}">
  <sheetPr>
    <tabColor theme="0"/>
  </sheetPr>
  <dimension ref="A1"/>
  <sheetViews>
    <sheetView topLeftCell="XFD1048576" workbookViewId="0"/>
  </sheetViews>
  <sheetFormatPr baseColWidth="10" defaultColWidth="0" defaultRowHeight="15" zeroHeight="1" x14ac:dyDescent="0.2"/>
  <cols>
    <col min="1" max="16384" width="9.1640625" hidden="1"/>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8264F-F01E-A64D-B5FC-BD1BEE132406}">
  <dimension ref="A1:G41"/>
  <sheetViews>
    <sheetView workbookViewId="0">
      <selection activeCell="B20" sqref="B20"/>
    </sheetView>
  </sheetViews>
  <sheetFormatPr baseColWidth="10" defaultColWidth="0" defaultRowHeight="15" customHeight="1" zeroHeight="1" x14ac:dyDescent="0.2"/>
  <cols>
    <col min="1" max="1" width="1.6640625" customWidth="1"/>
    <col min="2" max="2" width="22.1640625" bestFit="1" customWidth="1"/>
    <col min="3" max="3" width="28.33203125" bestFit="1" customWidth="1"/>
    <col min="4" max="4" width="24.6640625" bestFit="1" customWidth="1"/>
    <col min="5" max="5" width="28.1640625" bestFit="1" customWidth="1"/>
    <col min="6" max="6" width="29.1640625" bestFit="1" customWidth="1"/>
    <col min="7" max="7" width="1.6640625" customWidth="1"/>
    <col min="8" max="16384" width="9.1640625" hidden="1"/>
  </cols>
  <sheetData>
    <row r="1" spans="1:6" s="2" customFormat="1" ht="26" x14ac:dyDescent="0.3">
      <c r="A1" s="2" t="s">
        <v>47</v>
      </c>
    </row>
    <row r="2" spans="1:6" ht="5" customHeight="1" thickBot="1" x14ac:dyDescent="0.25"/>
    <row r="3" spans="1:6" x14ac:dyDescent="0.2">
      <c r="B3" s="34" t="s">
        <v>63</v>
      </c>
      <c r="C3" s="26"/>
      <c r="D3" s="26"/>
      <c r="E3" s="26"/>
      <c r="F3" s="27"/>
    </row>
    <row r="4" spans="1:6" x14ac:dyDescent="0.2">
      <c r="B4" s="28" t="s">
        <v>64</v>
      </c>
      <c r="C4" s="29"/>
      <c r="D4" s="29"/>
      <c r="E4" s="29"/>
      <c r="F4" s="30"/>
    </row>
    <row r="5" spans="1:6" x14ac:dyDescent="0.2">
      <c r="B5" s="28" t="s">
        <v>65</v>
      </c>
      <c r="C5" s="29"/>
      <c r="D5" s="29"/>
      <c r="E5" s="29"/>
      <c r="F5" s="30"/>
    </row>
    <row r="6" spans="1:6" x14ac:dyDescent="0.2">
      <c r="B6" s="28" t="s">
        <v>66</v>
      </c>
      <c r="C6" s="29"/>
      <c r="D6" s="29"/>
      <c r="E6" s="29"/>
      <c r="F6" s="30"/>
    </row>
    <row r="7" spans="1:6" x14ac:dyDescent="0.2">
      <c r="B7" s="28" t="s">
        <v>67</v>
      </c>
      <c r="C7" s="29"/>
      <c r="D7" s="29"/>
      <c r="E7" s="29"/>
      <c r="F7" s="30"/>
    </row>
    <row r="8" spans="1:6" ht="16" thickBot="1" x14ac:dyDescent="0.25">
      <c r="B8" s="31" t="s">
        <v>69</v>
      </c>
      <c r="C8" s="32"/>
      <c r="D8" s="32"/>
      <c r="E8" s="32"/>
      <c r="F8" s="33"/>
    </row>
    <row r="9" spans="1:6" x14ac:dyDescent="0.2"/>
    <row r="10" spans="1:6" s="35" customFormat="1" ht="17" x14ac:dyDescent="0.2">
      <c r="B10" s="36" t="s">
        <v>74</v>
      </c>
      <c r="C10" s="36"/>
      <c r="D10" s="36"/>
      <c r="E10" s="36"/>
      <c r="F10" s="36"/>
    </row>
    <row r="11" spans="1:6" ht="5" customHeight="1" x14ac:dyDescent="0.2"/>
    <row r="12" spans="1:6" x14ac:dyDescent="0.2">
      <c r="B12" s="11" t="s">
        <v>3</v>
      </c>
      <c r="C12" t="s">
        <v>1</v>
      </c>
    </row>
    <row r="13" spans="1:6" ht="5" customHeight="1" x14ac:dyDescent="0.2"/>
    <row r="14" spans="1:6" x14ac:dyDescent="0.2">
      <c r="B14" t="s">
        <v>15</v>
      </c>
      <c r="C14" t="s">
        <v>17</v>
      </c>
      <c r="D14" t="s">
        <v>25</v>
      </c>
    </row>
    <row r="15" spans="1:6" x14ac:dyDescent="0.2">
      <c r="B15" t="s">
        <v>5</v>
      </c>
      <c r="C15">
        <v>58769.655750000027</v>
      </c>
      <c r="D15">
        <v>0.36184616011892978</v>
      </c>
    </row>
    <row r="16" spans="1:6" x14ac:dyDescent="0.2">
      <c r="B16" t="s">
        <v>4</v>
      </c>
      <c r="C16">
        <v>51710.550449999966</v>
      </c>
      <c r="D16">
        <v>0.31838308186735764</v>
      </c>
    </row>
    <row r="17" spans="2:6" x14ac:dyDescent="0.2">
      <c r="B17" t="s">
        <v>6</v>
      </c>
      <c r="C17">
        <v>31783.773449999968</v>
      </c>
      <c r="D17">
        <v>0.19569344469016178</v>
      </c>
    </row>
    <row r="18" spans="2:6" x14ac:dyDescent="0.2">
      <c r="B18" t="s">
        <v>7</v>
      </c>
      <c r="C18">
        <v>12772.997250000002</v>
      </c>
      <c r="D18">
        <v>7.8643646098303863E-2</v>
      </c>
    </row>
    <row r="19" spans="2:6" x14ac:dyDescent="0.2">
      <c r="B19" t="s">
        <v>8</v>
      </c>
      <c r="C19">
        <v>7379.1607500000009</v>
      </c>
      <c r="D19">
        <v>4.543366722524695E-2</v>
      </c>
    </row>
    <row r="20" spans="2:6" ht="17" x14ac:dyDescent="0.2">
      <c r="B20" s="55" t="s">
        <v>16</v>
      </c>
      <c r="C20" s="55">
        <v>162416.13764999996</v>
      </c>
      <c r="D20" s="55">
        <v>1</v>
      </c>
    </row>
    <row r="21" spans="2:6" x14ac:dyDescent="0.2">
      <c r="C21" s="12"/>
      <c r="D21" s="13"/>
    </row>
    <row r="22" spans="2:6" s="35" customFormat="1" ht="17" x14ac:dyDescent="0.2">
      <c r="B22" s="36" t="s">
        <v>75</v>
      </c>
      <c r="C22" s="36"/>
      <c r="D22" s="36"/>
      <c r="E22" s="36"/>
      <c r="F22" s="36"/>
    </row>
    <row r="23" spans="2:6" ht="5" customHeight="1" x14ac:dyDescent="0.2"/>
    <row r="24" spans="2:6" x14ac:dyDescent="0.2">
      <c r="B24" t="s">
        <v>26</v>
      </c>
      <c r="C24" t="s">
        <v>17</v>
      </c>
      <c r="D24" t="s">
        <v>25</v>
      </c>
      <c r="E24" t="s">
        <v>29</v>
      </c>
      <c r="F24" t="s">
        <v>30</v>
      </c>
    </row>
    <row r="25" spans="2:6" x14ac:dyDescent="0.2">
      <c r="B25" t="s">
        <v>27</v>
      </c>
      <c r="C25">
        <v>1084807.8971666454</v>
      </c>
      <c r="D25">
        <v>0.45202981581386076</v>
      </c>
      <c r="E25">
        <v>16400</v>
      </c>
      <c r="F25">
        <v>0.39961013645224169</v>
      </c>
    </row>
    <row r="26" spans="2:6" x14ac:dyDescent="0.2">
      <c r="B26" t="s">
        <v>0</v>
      </c>
      <c r="C26">
        <v>625360.58812499989</v>
      </c>
      <c r="D26">
        <v>0.26058220280817751</v>
      </c>
      <c r="E26">
        <v>13982</v>
      </c>
      <c r="F26">
        <v>0.34069200779727093</v>
      </c>
    </row>
    <row r="27" spans="2:6" x14ac:dyDescent="0.2">
      <c r="B27" t="s">
        <v>28</v>
      </c>
      <c r="C27">
        <v>527274.54390000575</v>
      </c>
      <c r="D27">
        <v>0.21971061935018646</v>
      </c>
      <c r="E27">
        <v>7832</v>
      </c>
      <c r="F27">
        <v>0.19083820662768031</v>
      </c>
    </row>
    <row r="28" spans="2:6" x14ac:dyDescent="0.2">
      <c r="B28" t="s">
        <v>31</v>
      </c>
      <c r="C28">
        <v>162416.13764999947</v>
      </c>
      <c r="D28">
        <v>6.7677362027767196E-2</v>
      </c>
      <c r="E28">
        <v>2826</v>
      </c>
      <c r="F28">
        <v>6.8859649122807023E-2</v>
      </c>
    </row>
    <row r="29" spans="2:6" ht="17" x14ac:dyDescent="0.2">
      <c r="B29" s="55" t="s">
        <v>16</v>
      </c>
      <c r="C29" s="55">
        <v>2399859.1668416699</v>
      </c>
      <c r="D29" s="55">
        <v>1</v>
      </c>
      <c r="E29" s="55">
        <v>41040</v>
      </c>
      <c r="F29" s="55">
        <v>1</v>
      </c>
    </row>
    <row r="30" spans="2:6" x14ac:dyDescent="0.2">
      <c r="C30" s="12"/>
      <c r="D30" s="13"/>
    </row>
    <row r="31" spans="2:6" s="35" customFormat="1" ht="17" x14ac:dyDescent="0.2">
      <c r="B31" s="36" t="s">
        <v>76</v>
      </c>
      <c r="C31" s="36"/>
      <c r="D31" s="36"/>
      <c r="E31" s="36"/>
      <c r="F31" s="36"/>
    </row>
    <row r="32" spans="2:6" ht="5" customHeight="1" x14ac:dyDescent="0.2"/>
    <row r="33" spans="2:6" x14ac:dyDescent="0.2">
      <c r="B33" s="11" t="s">
        <v>0</v>
      </c>
      <c r="C33" t="s">
        <v>24</v>
      </c>
    </row>
    <row r="34" spans="2:6" ht="5" customHeight="1" x14ac:dyDescent="0.2"/>
    <row r="35" spans="2:6" x14ac:dyDescent="0.2">
      <c r="B35" t="s">
        <v>26</v>
      </c>
      <c r="C35" t="s">
        <v>17</v>
      </c>
      <c r="D35" t="s">
        <v>25</v>
      </c>
      <c r="E35" t="s">
        <v>29</v>
      </c>
      <c r="F35" t="s">
        <v>30</v>
      </c>
    </row>
    <row r="36" spans="2:6" x14ac:dyDescent="0.2">
      <c r="B36" t="s">
        <v>27</v>
      </c>
      <c r="C36">
        <v>1084807.8971666472</v>
      </c>
      <c r="D36">
        <v>0.61133207441124493</v>
      </c>
      <c r="E36">
        <v>16400</v>
      </c>
      <c r="F36">
        <v>0.60610540320792372</v>
      </c>
    </row>
    <row r="37" spans="2:6" x14ac:dyDescent="0.2">
      <c r="B37" t="s">
        <v>28</v>
      </c>
      <c r="C37">
        <v>527274.54390000599</v>
      </c>
      <c r="D37">
        <v>0.2971400204114813</v>
      </c>
      <c r="E37">
        <v>7832</v>
      </c>
      <c r="F37">
        <v>0.28945228767832065</v>
      </c>
    </row>
    <row r="38" spans="2:6" x14ac:dyDescent="0.2">
      <c r="B38" t="s">
        <v>31</v>
      </c>
      <c r="C38">
        <v>162416.1376499997</v>
      </c>
      <c r="D38">
        <v>9.1527905177282959E-2</v>
      </c>
      <c r="E38">
        <v>2826</v>
      </c>
      <c r="F38">
        <v>0.10444230911375564</v>
      </c>
    </row>
    <row r="39" spans="2:6" ht="17" x14ac:dyDescent="0.2">
      <c r="B39" s="55" t="s">
        <v>16</v>
      </c>
      <c r="C39" s="55">
        <v>1774498.5787166366</v>
      </c>
      <c r="D39" s="55">
        <v>1</v>
      </c>
      <c r="E39" s="55">
        <v>27058</v>
      </c>
      <c r="F39" s="55">
        <v>1</v>
      </c>
    </row>
    <row r="40" spans="2:6" x14ac:dyDescent="0.2"/>
    <row r="41" spans="2:6" s="1" customFormat="1" ht="5" customHeight="1"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2F0B3-337E-274E-A143-38CB0E92CAD3}">
  <dimension ref="A1:K35"/>
  <sheetViews>
    <sheetView tabSelected="1" workbookViewId="0">
      <selection activeCell="G37" sqref="G37"/>
    </sheetView>
  </sheetViews>
  <sheetFormatPr baseColWidth="10" defaultColWidth="8.83203125" defaultRowHeight="15" x14ac:dyDescent="0.2"/>
  <cols>
    <col min="1" max="1" width="1.6640625" customWidth="1"/>
    <col min="2" max="2" width="29.6640625" bestFit="1" customWidth="1"/>
    <col min="3" max="3" width="26.6640625" bestFit="1" customWidth="1"/>
    <col min="4" max="4" width="28.33203125" bestFit="1" customWidth="1"/>
    <col min="5" max="5" width="24.6640625" bestFit="1" customWidth="1"/>
    <col min="6" max="6" width="1.6640625" customWidth="1"/>
    <col min="7" max="7" width="28.6640625" bestFit="1" customWidth="1"/>
    <col min="8" max="8" width="28.33203125" bestFit="1" customWidth="1"/>
    <col min="9" max="9" width="24.6640625" bestFit="1" customWidth="1"/>
  </cols>
  <sheetData>
    <row r="1" spans="1:11" s="2" customFormat="1" ht="26" x14ac:dyDescent="0.3">
      <c r="A1" s="2" t="s">
        <v>48</v>
      </c>
    </row>
    <row r="2" spans="1:11" ht="5" customHeight="1" thickBot="1" x14ac:dyDescent="0.25"/>
    <row r="3" spans="1:11" x14ac:dyDescent="0.2">
      <c r="B3" s="34" t="s">
        <v>63</v>
      </c>
      <c r="C3" s="26"/>
      <c r="D3" s="26"/>
      <c r="E3" s="26"/>
      <c r="F3" s="27"/>
    </row>
    <row r="4" spans="1:11" x14ac:dyDescent="0.2">
      <c r="B4" s="28" t="s">
        <v>70</v>
      </c>
      <c r="C4" s="29"/>
      <c r="D4" s="29"/>
      <c r="E4" s="29"/>
      <c r="F4" s="30"/>
    </row>
    <row r="5" spans="1:11" x14ac:dyDescent="0.2">
      <c r="B5" s="28" t="s">
        <v>71</v>
      </c>
      <c r="C5" s="29"/>
      <c r="D5" s="29"/>
      <c r="E5" s="29"/>
      <c r="F5" s="30"/>
    </row>
    <row r="6" spans="1:11" x14ac:dyDescent="0.2">
      <c r="B6" s="28" t="s">
        <v>72</v>
      </c>
      <c r="C6" s="29"/>
      <c r="D6" s="29"/>
      <c r="E6" s="29"/>
      <c r="F6" s="30"/>
    </row>
    <row r="7" spans="1:11" x14ac:dyDescent="0.2">
      <c r="B7" s="28" t="s">
        <v>73</v>
      </c>
      <c r="C7" s="29"/>
      <c r="D7" s="29"/>
      <c r="E7" s="29"/>
      <c r="F7" s="30"/>
    </row>
    <row r="8" spans="1:11" ht="16" thickBot="1" x14ac:dyDescent="0.25">
      <c r="B8" s="31"/>
      <c r="C8" s="32"/>
      <c r="D8" s="32"/>
      <c r="E8" s="32"/>
      <c r="F8" s="33"/>
    </row>
    <row r="10" spans="1:11" s="35" customFormat="1" ht="17" x14ac:dyDescent="0.2">
      <c r="B10" s="36" t="s">
        <v>77</v>
      </c>
      <c r="C10" s="36"/>
      <c r="D10" s="36"/>
      <c r="E10" s="36"/>
      <c r="F10"/>
      <c r="G10" s="36" t="s">
        <v>78</v>
      </c>
      <c r="H10" s="36"/>
      <c r="I10" s="36"/>
      <c r="J10"/>
      <c r="K10"/>
    </row>
    <row r="11" spans="1:11" ht="5" customHeight="1" x14ac:dyDescent="0.2"/>
    <row r="12" spans="1:11" x14ac:dyDescent="0.2">
      <c r="B12" s="11" t="s">
        <v>3</v>
      </c>
      <c r="C12" t="s">
        <v>1</v>
      </c>
      <c r="G12" s="11" t="s">
        <v>3</v>
      </c>
      <c r="H12" t="s">
        <v>1</v>
      </c>
    </row>
    <row r="13" spans="1:11" ht="5" customHeight="1" x14ac:dyDescent="0.2"/>
    <row r="14" spans="1:11" ht="17" x14ac:dyDescent="0.2">
      <c r="B14" s="36" t="s">
        <v>15</v>
      </c>
      <c r="C14" s="36" t="s">
        <v>9</v>
      </c>
      <c r="D14" s="36" t="s">
        <v>17</v>
      </c>
      <c r="E14" s="36" t="s">
        <v>25</v>
      </c>
      <c r="G14" s="36" t="s">
        <v>9</v>
      </c>
      <c r="H14" s="36" t="s">
        <v>17</v>
      </c>
      <c r="I14" s="36" t="s">
        <v>25</v>
      </c>
    </row>
    <row r="15" spans="1:11" x14ac:dyDescent="0.2">
      <c r="B15" t="s">
        <v>5</v>
      </c>
      <c r="C15" t="s">
        <v>14</v>
      </c>
      <c r="D15">
        <v>49664.374499999998</v>
      </c>
      <c r="E15">
        <v>0.84506832422614619</v>
      </c>
      <c r="G15" t="s">
        <v>14</v>
      </c>
      <c r="H15">
        <v>141660.20504999973</v>
      </c>
      <c r="I15">
        <v>0.87220523218740609</v>
      </c>
    </row>
    <row r="16" spans="1:11" x14ac:dyDescent="0.2">
      <c r="B16" t="s">
        <v>5</v>
      </c>
      <c r="C16" t="s">
        <v>13</v>
      </c>
      <c r="D16">
        <v>5478.5328</v>
      </c>
      <c r="E16">
        <v>9.3220433743990416E-2</v>
      </c>
      <c r="G16" t="s">
        <v>13</v>
      </c>
      <c r="H16">
        <v>14617.730400000002</v>
      </c>
      <c r="I16">
        <v>9.0001711723379521E-2</v>
      </c>
    </row>
    <row r="17" spans="2:9" x14ac:dyDescent="0.2">
      <c r="B17" t="s">
        <v>5</v>
      </c>
      <c r="C17" t="s">
        <v>12</v>
      </c>
      <c r="D17">
        <v>3016.4803499999998</v>
      </c>
      <c r="E17">
        <v>5.1327174057847022E-2</v>
      </c>
      <c r="G17" t="s">
        <v>12</v>
      </c>
      <c r="H17">
        <v>5479.6716000000015</v>
      </c>
      <c r="I17">
        <v>3.3738467613412128E-2</v>
      </c>
    </row>
    <row r="18" spans="2:9" x14ac:dyDescent="0.2">
      <c r="B18" t="s">
        <v>5</v>
      </c>
      <c r="C18" t="s">
        <v>11</v>
      </c>
      <c r="D18">
        <v>559.0806</v>
      </c>
      <c r="E18">
        <v>9.5130827782669118E-3</v>
      </c>
      <c r="G18" t="s">
        <v>11</v>
      </c>
      <c r="H18">
        <v>607.34310000000005</v>
      </c>
      <c r="I18">
        <v>3.739425827923578E-3</v>
      </c>
    </row>
    <row r="19" spans="2:9" x14ac:dyDescent="0.2">
      <c r="B19" t="s">
        <v>5</v>
      </c>
      <c r="C19" t="s">
        <v>23</v>
      </c>
      <c r="D19">
        <v>51.1875</v>
      </c>
      <c r="E19">
        <v>8.7098519374941214E-4</v>
      </c>
      <c r="G19" t="s">
        <v>23</v>
      </c>
      <c r="H19">
        <v>51.1875</v>
      </c>
      <c r="I19">
        <v>3.1516264787866718E-4</v>
      </c>
    </row>
    <row r="20" spans="2:9" ht="17" x14ac:dyDescent="0.2">
      <c r="B20" t="s">
        <v>21</v>
      </c>
      <c r="D20">
        <v>58769.655749999998</v>
      </c>
      <c r="E20">
        <v>0.36184616011892973</v>
      </c>
      <c r="G20" s="55" t="s">
        <v>16</v>
      </c>
      <c r="H20" s="55">
        <v>162416.13764999973</v>
      </c>
      <c r="I20" s="55">
        <v>1</v>
      </c>
    </row>
    <row r="21" spans="2:9" x14ac:dyDescent="0.2">
      <c r="B21" t="s">
        <v>4</v>
      </c>
      <c r="C21" t="s">
        <v>14</v>
      </c>
      <c r="D21">
        <v>44113.691699999945</v>
      </c>
      <c r="E21">
        <v>0.85308880520725516</v>
      </c>
    </row>
    <row r="22" spans="2:9" ht="17" x14ac:dyDescent="0.2">
      <c r="B22" t="s">
        <v>4</v>
      </c>
      <c r="C22" t="s">
        <v>13</v>
      </c>
      <c r="D22">
        <v>5731.6350000000011</v>
      </c>
      <c r="E22">
        <v>0.11084072689464104</v>
      </c>
      <c r="G22" s="36" t="s">
        <v>79</v>
      </c>
      <c r="H22" s="36"/>
      <c r="I22" s="36"/>
    </row>
    <row r="23" spans="2:9" x14ac:dyDescent="0.2">
      <c r="B23" t="s">
        <v>4</v>
      </c>
      <c r="C23" t="s">
        <v>12</v>
      </c>
      <c r="D23">
        <v>1816.9612499999998</v>
      </c>
      <c r="E23">
        <v>3.5137147723013684E-2</v>
      </c>
    </row>
    <row r="24" spans="2:9" x14ac:dyDescent="0.2">
      <c r="B24" t="s">
        <v>4</v>
      </c>
      <c r="C24" t="s">
        <v>11</v>
      </c>
      <c r="D24">
        <v>48.262500000000003</v>
      </c>
      <c r="E24">
        <v>9.3332017509011175E-4</v>
      </c>
      <c r="G24" s="11" t="s">
        <v>0</v>
      </c>
      <c r="H24" t="s">
        <v>24</v>
      </c>
    </row>
    <row r="25" spans="2:9" x14ac:dyDescent="0.2">
      <c r="B25" t="s">
        <v>18</v>
      </c>
      <c r="D25">
        <v>51710.550449999944</v>
      </c>
      <c r="E25">
        <v>0.31838308186735764</v>
      </c>
    </row>
    <row r="26" spans="2:9" ht="17" x14ac:dyDescent="0.2">
      <c r="B26" t="s">
        <v>6</v>
      </c>
      <c r="C26" t="s">
        <v>14</v>
      </c>
      <c r="D26">
        <v>27918.809099999984</v>
      </c>
      <c r="E26">
        <v>0.8783981909485955</v>
      </c>
      <c r="G26" s="36" t="s">
        <v>9</v>
      </c>
      <c r="H26" s="36" t="s">
        <v>17</v>
      </c>
      <c r="I26" s="36" t="s">
        <v>25</v>
      </c>
    </row>
    <row r="27" spans="2:9" x14ac:dyDescent="0.2">
      <c r="B27" t="s">
        <v>6</v>
      </c>
      <c r="C27" t="s">
        <v>13</v>
      </c>
      <c r="D27">
        <v>3218.7343499999997</v>
      </c>
      <c r="E27">
        <v>0.10126973611435686</v>
      </c>
      <c r="G27" t="s">
        <v>14</v>
      </c>
      <c r="H27">
        <v>1381950.5381521489</v>
      </c>
      <c r="I27">
        <v>0.77878368274129883</v>
      </c>
    </row>
    <row r="28" spans="2:9" x14ac:dyDescent="0.2">
      <c r="B28" t="s">
        <v>6</v>
      </c>
      <c r="C28" t="s">
        <v>12</v>
      </c>
      <c r="D28">
        <v>646.23</v>
      </c>
      <c r="E28">
        <v>2.0332072937047706E-2</v>
      </c>
      <c r="G28" t="s">
        <v>13</v>
      </c>
      <c r="H28">
        <v>215684.37735000034</v>
      </c>
      <c r="I28">
        <v>0.1215466610888964</v>
      </c>
    </row>
    <row r="29" spans="2:9" x14ac:dyDescent="0.2">
      <c r="B29" t="s">
        <v>20</v>
      </c>
      <c r="D29">
        <v>31783.773449999982</v>
      </c>
      <c r="E29">
        <v>0.19569344469016192</v>
      </c>
      <c r="G29" t="s">
        <v>12</v>
      </c>
      <c r="H29">
        <v>118979.21486164839</v>
      </c>
      <c r="I29">
        <v>6.7049484450811284E-2</v>
      </c>
    </row>
    <row r="30" spans="2:9" x14ac:dyDescent="0.2">
      <c r="B30" t="s">
        <v>7</v>
      </c>
      <c r="C30" t="s">
        <v>14</v>
      </c>
      <c r="D30">
        <v>12772.997250000002</v>
      </c>
      <c r="E30">
        <v>1</v>
      </c>
      <c r="G30" t="s">
        <v>11</v>
      </c>
      <c r="H30">
        <v>44760.614902846646</v>
      </c>
      <c r="I30">
        <v>2.5224373487646567E-2</v>
      </c>
    </row>
    <row r="31" spans="2:9" x14ac:dyDescent="0.2">
      <c r="B31" t="s">
        <v>19</v>
      </c>
      <c r="D31">
        <v>12772.997250000002</v>
      </c>
      <c r="E31">
        <v>7.864364609830389E-2</v>
      </c>
      <c r="G31" t="s">
        <v>23</v>
      </c>
      <c r="H31">
        <v>13123.833449999991</v>
      </c>
      <c r="I31">
        <v>7.3957982313468118E-3</v>
      </c>
    </row>
    <row r="32" spans="2:9" ht="17" x14ac:dyDescent="0.2">
      <c r="B32" t="s">
        <v>8</v>
      </c>
      <c r="C32" t="s">
        <v>14</v>
      </c>
      <c r="D32">
        <v>7190.3325000000004</v>
      </c>
      <c r="E32">
        <v>0.97441060624678755</v>
      </c>
      <c r="G32" s="55" t="s">
        <v>16</v>
      </c>
      <c r="H32" s="55">
        <v>1774498.5787166446</v>
      </c>
      <c r="I32" s="55">
        <v>1</v>
      </c>
    </row>
    <row r="33" spans="2:5" x14ac:dyDescent="0.2">
      <c r="B33" t="s">
        <v>8</v>
      </c>
      <c r="C33" t="s">
        <v>13</v>
      </c>
      <c r="D33">
        <v>188.82825000000003</v>
      </c>
      <c r="E33">
        <v>2.5589393753212383E-2</v>
      </c>
    </row>
    <row r="34" spans="2:5" x14ac:dyDescent="0.2">
      <c r="B34" t="s">
        <v>22</v>
      </c>
      <c r="D34">
        <v>7379.1607500000009</v>
      </c>
      <c r="E34">
        <v>4.5433667225246971E-2</v>
      </c>
    </row>
    <row r="35" spans="2:5" ht="17" x14ac:dyDescent="0.2">
      <c r="B35" s="55" t="s">
        <v>16</v>
      </c>
      <c r="C35" s="55"/>
      <c r="D35" s="55">
        <v>162416.1376499999</v>
      </c>
      <c r="E35" s="55">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C48B7-843A-4104-80FB-13E164709219}">
  <sheetPr>
    <tabColor theme="0"/>
  </sheetPr>
  <dimension ref="A1"/>
  <sheetViews>
    <sheetView topLeftCell="XFD1048576" workbookViewId="0"/>
  </sheetViews>
  <sheetFormatPr baseColWidth="10" defaultColWidth="0" defaultRowHeight="15" zeroHeight="1" x14ac:dyDescent="0.2"/>
  <cols>
    <col min="1" max="16384" width="9.1640625" hidden="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F3500-54B8-424B-9A30-63D16205379B}">
  <dimension ref="A1:S32"/>
  <sheetViews>
    <sheetView showGridLines="0" workbookViewId="0"/>
  </sheetViews>
  <sheetFormatPr baseColWidth="10" defaultColWidth="0" defaultRowHeight="15" x14ac:dyDescent="0.2"/>
  <cols>
    <col min="1" max="1" width="1.6640625" customWidth="1"/>
    <col min="2" max="5" width="21.5" bestFit="1" customWidth="1"/>
    <col min="6" max="7" width="21.5" customWidth="1"/>
    <col min="8" max="8" width="1.6640625" customWidth="1"/>
    <col min="9" max="19" width="0" hidden="1" customWidth="1"/>
    <col min="20" max="16384" width="9.1640625" hidden="1"/>
  </cols>
  <sheetData>
    <row r="1" spans="1:7" s="1" customFormat="1" ht="26" x14ac:dyDescent="0.3">
      <c r="A1" s="2" t="s">
        <v>2</v>
      </c>
    </row>
    <row r="3" spans="1:7" ht="141" customHeight="1" x14ac:dyDescent="0.2">
      <c r="B3" s="53" t="s">
        <v>32</v>
      </c>
      <c r="C3" s="53"/>
      <c r="D3" s="53"/>
      <c r="E3" s="53"/>
      <c r="F3" s="53"/>
      <c r="G3" s="53"/>
    </row>
    <row r="4" spans="1:7" ht="5" customHeight="1" x14ac:dyDescent="0.2">
      <c r="B4" s="14"/>
      <c r="C4" s="14"/>
      <c r="D4" s="14"/>
      <c r="E4" s="14"/>
      <c r="F4" s="14"/>
      <c r="G4" s="14"/>
    </row>
    <row r="5" spans="1:7" ht="15" customHeight="1" x14ac:dyDescent="0.2">
      <c r="B5" s="14" t="s">
        <v>33</v>
      </c>
      <c r="C5" s="5"/>
      <c r="D5" s="5"/>
      <c r="E5" s="5"/>
      <c r="F5" s="5"/>
      <c r="G5" s="5"/>
    </row>
    <row r="6" spans="1:7" ht="15" customHeight="1" x14ac:dyDescent="0.2">
      <c r="B6" s="15" t="s">
        <v>34</v>
      </c>
      <c r="C6" s="5"/>
      <c r="D6" s="5"/>
      <c r="E6" s="5"/>
      <c r="F6" s="5"/>
      <c r="G6" s="5"/>
    </row>
    <row r="7" spans="1:7" ht="15" customHeight="1" x14ac:dyDescent="0.2">
      <c r="B7" s="15" t="s">
        <v>35</v>
      </c>
      <c r="C7" s="5"/>
      <c r="D7" s="5"/>
      <c r="E7" s="5"/>
      <c r="F7" s="5"/>
      <c r="G7" s="5"/>
    </row>
    <row r="8" spans="1:7" ht="15" customHeight="1" x14ac:dyDescent="0.2">
      <c r="B8" s="16" t="s">
        <v>36</v>
      </c>
      <c r="C8" s="5"/>
      <c r="D8" s="5"/>
      <c r="E8" s="5"/>
      <c r="F8" s="5"/>
      <c r="G8" s="5"/>
    </row>
    <row r="9" spans="1:7" ht="5" customHeight="1" x14ac:dyDescent="0.2"/>
    <row r="10" spans="1:7" x14ac:dyDescent="0.2">
      <c r="B10" s="3" t="s">
        <v>10</v>
      </c>
      <c r="C10" s="3"/>
      <c r="D10" s="3"/>
      <c r="E10" s="3"/>
    </row>
    <row r="11" spans="1:7" x14ac:dyDescent="0.2">
      <c r="B11" s="37" t="s">
        <v>81</v>
      </c>
      <c r="C11" s="37" t="s">
        <v>82</v>
      </c>
      <c r="D11" s="4" t="s">
        <v>83</v>
      </c>
      <c r="E11" s="4" t="s">
        <v>84</v>
      </c>
    </row>
    <row r="12" spans="1:7" x14ac:dyDescent="0.2">
      <c r="B12" s="9">
        <v>0</v>
      </c>
      <c r="C12" s="9">
        <v>4</v>
      </c>
      <c r="D12" s="10" t="s">
        <v>4</v>
      </c>
      <c r="E12" s="10" t="s">
        <v>11</v>
      </c>
    </row>
    <row r="13" spans="1:7" x14ac:dyDescent="0.2">
      <c r="B13" s="9">
        <v>4</v>
      </c>
      <c r="C13" s="9">
        <v>24</v>
      </c>
      <c r="D13" s="10" t="s">
        <v>6</v>
      </c>
      <c r="E13" s="10" t="s">
        <v>12</v>
      </c>
    </row>
    <row r="14" spans="1:7" x14ac:dyDescent="0.2">
      <c r="B14" s="9">
        <v>24</v>
      </c>
      <c r="C14" s="9">
        <v>72</v>
      </c>
      <c r="D14" s="10" t="s">
        <v>8</v>
      </c>
      <c r="E14" s="10" t="s">
        <v>13</v>
      </c>
    </row>
    <row r="15" spans="1:7" x14ac:dyDescent="0.2">
      <c r="B15" s="9">
        <v>72</v>
      </c>
      <c r="C15" s="9">
        <v>9999</v>
      </c>
      <c r="D15" s="10" t="s">
        <v>7</v>
      </c>
      <c r="E15" s="10" t="s">
        <v>14</v>
      </c>
    </row>
    <row r="17" spans="2:7" x14ac:dyDescent="0.2">
      <c r="B17" s="6" t="s">
        <v>37</v>
      </c>
    </row>
    <row r="18" spans="2:7" x14ac:dyDescent="0.2">
      <c r="B18" s="18" t="s">
        <v>42</v>
      </c>
    </row>
    <row r="19" spans="2:7" x14ac:dyDescent="0.2">
      <c r="B19" s="18" t="s">
        <v>43</v>
      </c>
    </row>
    <row r="20" spans="2:7" x14ac:dyDescent="0.2">
      <c r="B20" s="18" t="s">
        <v>44</v>
      </c>
    </row>
    <row r="21" spans="2:7" ht="15" customHeight="1" x14ac:dyDescent="0.2">
      <c r="B21" t="s">
        <v>41</v>
      </c>
      <c r="C21" s="5"/>
      <c r="D21" s="5"/>
      <c r="E21" s="5"/>
    </row>
    <row r="22" spans="2:7" x14ac:dyDescent="0.2">
      <c r="B22" t="s">
        <v>45</v>
      </c>
      <c r="C22" s="5"/>
      <c r="D22" s="5"/>
      <c r="E22" s="5"/>
    </row>
    <row r="23" spans="2:7" ht="15" customHeight="1" x14ac:dyDescent="0.2">
      <c r="B23" t="s">
        <v>68</v>
      </c>
      <c r="C23" s="6"/>
      <c r="D23" s="6"/>
      <c r="E23" s="6"/>
    </row>
    <row r="25" spans="2:7" ht="39.75" customHeight="1" x14ac:dyDescent="0.2">
      <c r="B25" s="53" t="s">
        <v>38</v>
      </c>
      <c r="C25" s="53"/>
      <c r="D25" s="53"/>
      <c r="E25" s="53"/>
      <c r="F25" s="53"/>
      <c r="G25" s="53"/>
    </row>
    <row r="27" spans="2:7" x14ac:dyDescent="0.2">
      <c r="B27" s="6" t="s">
        <v>39</v>
      </c>
    </row>
    <row r="28" spans="2:7" x14ac:dyDescent="0.2">
      <c r="B28" s="17" t="s">
        <v>40</v>
      </c>
    </row>
    <row r="29" spans="2:7" x14ac:dyDescent="0.2">
      <c r="B29" s="5"/>
      <c r="C29" s="5"/>
      <c r="D29" s="5"/>
      <c r="E29" s="5"/>
      <c r="F29" s="5"/>
      <c r="G29" s="5"/>
    </row>
    <row r="30" spans="2:7" x14ac:dyDescent="0.2">
      <c r="B30" s="5"/>
      <c r="C30" s="5"/>
      <c r="D30" s="5"/>
      <c r="E30" s="5"/>
      <c r="F30" s="5"/>
      <c r="G30" s="5"/>
    </row>
    <row r="31" spans="2:7" x14ac:dyDescent="0.2">
      <c r="B31" s="54"/>
      <c r="C31" s="54"/>
      <c r="D31" s="54"/>
      <c r="E31" s="54"/>
      <c r="F31" s="5"/>
      <c r="G31" s="5"/>
    </row>
    <row r="32" spans="2:7" x14ac:dyDescent="0.2">
      <c r="B32" s="54"/>
      <c r="C32" s="54"/>
      <c r="D32" s="54"/>
      <c r="E32" s="54"/>
      <c r="F32" s="5"/>
      <c r="G32" s="5"/>
    </row>
  </sheetData>
  <mergeCells count="3">
    <mergeCell ref="B3:G3"/>
    <mergeCell ref="B25:G25"/>
    <mergeCell ref="B31:E3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Financials</vt:lpstr>
      <vt:lpstr>Analysis &gt; &gt;</vt:lpstr>
      <vt:lpstr>Analysis_Summary</vt:lpstr>
      <vt:lpstr>Analysis_Lead Time</vt:lpstr>
      <vt:lpstr>Documentations &gt; &gt;</vt:lpstr>
      <vt:lpstr>Assumptions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Shin Financials</dc:creator>
  <cp:lastModifiedBy>Henry Jia</cp:lastModifiedBy>
  <dcterms:created xsi:type="dcterms:W3CDTF">2015-06-05T18:17:20Z</dcterms:created>
  <dcterms:modified xsi:type="dcterms:W3CDTF">2026-01-11T20:47:21Z</dcterms:modified>
</cp:coreProperties>
</file>